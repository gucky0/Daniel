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iiz\Desktop\hafiz\teach\excel\VBA test\"/>
    </mc:Choice>
  </mc:AlternateContent>
  <xr:revisionPtr revIDLastSave="0" documentId="13_ncr:1_{B72B805D-B4C1-4C2B-8559-F9F76EA6F7DE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1" l="1"/>
  <c r="B27" i="1"/>
  <c r="C26" i="1"/>
  <c r="K24" i="1"/>
  <c r="J24" i="1"/>
  <c r="I24" i="1"/>
  <c r="H24" i="1"/>
  <c r="K23" i="1"/>
  <c r="J23" i="1"/>
  <c r="I23" i="1"/>
  <c r="H23" i="1"/>
  <c r="K22" i="1"/>
  <c r="J22" i="1"/>
  <c r="I22" i="1"/>
  <c r="H22" i="1"/>
  <c r="C22" i="1"/>
  <c r="C28" i="1" s="1"/>
  <c r="K21" i="1"/>
  <c r="J21" i="1"/>
  <c r="I21" i="1"/>
  <c r="H21" i="1"/>
  <c r="H17" i="1"/>
  <c r="H16" i="1"/>
  <c r="G16" i="1"/>
  <c r="H15" i="1"/>
  <c r="H14" i="1"/>
  <c r="B7" i="1"/>
  <c r="B6" i="1"/>
  <c r="B5" i="1"/>
  <c r="G15" i="1" s="1"/>
  <c r="B4" i="1"/>
  <c r="G14" i="1" s="1"/>
  <c r="C23" i="1" l="1"/>
  <c r="B28" i="1"/>
  <c r="C24" i="1" l="1"/>
  <c r="C29" i="1"/>
  <c r="B29" i="1"/>
  <c r="G17" i="1"/>
  <c r="C30" i="1" l="1"/>
  <c r="B30" i="1"/>
</calcChain>
</file>

<file path=xl/sharedStrings.xml><?xml version="1.0" encoding="utf-8"?>
<sst xmlns="http://schemas.openxmlformats.org/spreadsheetml/2006/main" count="69" uniqueCount="53">
  <si>
    <t>Sensor No</t>
  </si>
  <si>
    <t>Protruding Glass Length (mm)</t>
  </si>
  <si>
    <t>Water Height (mm)
(From Glass Tip to Water Surface)</t>
  </si>
  <si>
    <t>exp2</t>
  </si>
  <si>
    <t>2021-03-23_102345</t>
  </si>
  <si>
    <t>-</t>
  </si>
  <si>
    <t>Day 1</t>
  </si>
  <si>
    <t>Y</t>
  </si>
  <si>
    <t>2021-03-23_104220</t>
  </si>
  <si>
    <t>Day 2</t>
  </si>
  <si>
    <t>N</t>
  </si>
  <si>
    <t>Day 3</t>
  </si>
  <si>
    <t>Fill</t>
  </si>
  <si>
    <t>No Fill</t>
  </si>
  <si>
    <t>settings used</t>
  </si>
  <si>
    <t>high offset</t>
  </si>
  <si>
    <t>image offset</t>
  </si>
  <si>
    <t>low offset</t>
  </si>
  <si>
    <t>RT offset</t>
  </si>
  <si>
    <t>first high</t>
  </si>
  <si>
    <t>first low</t>
  </si>
  <si>
    <t>Water Volume (uL)</t>
  </si>
  <si>
    <t>No. Of Thermocouples</t>
  </si>
  <si>
    <t>Machine ID</t>
  </si>
  <si>
    <t>SAPV016A0001</t>
  </si>
  <si>
    <t>Path</t>
  </si>
  <si>
    <t>\\Star-Array\Star-Array\01_General Technical Files\01_Projects\P15_XDive\05_Thermal Related\Data-ZH</t>
  </si>
  <si>
    <t>SensorBatch
(PPT)</t>
  </si>
  <si>
    <t>exp1</t>
  </si>
  <si>
    <t>pcr (raw data)</t>
  </si>
  <si>
    <t>before exp1 (Day 1)</t>
  </si>
  <si>
    <t>after exp1 (Day 1)</t>
  </si>
  <si>
    <t>Results</t>
  </si>
  <si>
    <t>2021-03-22_164106</t>
  </si>
  <si>
    <t>y</t>
  </si>
  <si>
    <t>2021-03-23_100922</t>
  </si>
  <si>
    <t>`</t>
  </si>
  <si>
    <t>C:\Users\XDive\Desktop\07_Sensor Prob Tracking - Shortcut.lnk</t>
  </si>
  <si>
    <t>SensorProbeTracking
 (Excel)</t>
  </si>
  <si>
    <t>Probe to Glass Tip</t>
  </si>
  <si>
    <t>Total Length</t>
  </si>
  <si>
    <t>data1</t>
  </si>
  <si>
    <t>data2</t>
  </si>
  <si>
    <t>SB-X01-17</t>
  </si>
  <si>
    <t>93.56 57.58 0.73 1.72</t>
  </si>
  <si>
    <t>92.53 56.63 0.58 2.24</t>
  </si>
  <si>
    <t>93.30 57.28 0.50 1.97</t>
  </si>
  <si>
    <t>93.46 57.29 0.38 2.21</t>
  </si>
  <si>
    <t>water level</t>
  </si>
  <si>
    <t>oil level</t>
  </si>
  <si>
    <t>temp1 (Day 1)</t>
  </si>
  <si>
    <t>temp2 (Day 1)</t>
  </si>
  <si>
    <t>labelled 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</si>
</sst>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u/>
      <sz val="11"/>
      <color rgb="FF800080"/>
      <name val="Calibri"/>
      <family val="2"/>
      <scheme val="minor"/>
    </font>
    <font>
      <sz val="12"/>
      <color rgb="FF1E1E1E"/>
      <name val="Segoe UI"/>
      <family val="2"/>
    </font>
    <font>
      <u/>
      <sz val="11"/>
      <color rgb="FF0000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A367D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6" borderId="3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6" borderId="6" xfId="0" applyNumberForma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164" fontId="0" fillId="7" borderId="7" xfId="0" applyNumberFormat="1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6" borderId="9" xfId="0" applyNumberForma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5" fillId="6" borderId="0" xfId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0" fillId="6" borderId="8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 wrapText="1"/>
    </xf>
    <xf numFmtId="164" fontId="0" fillId="7" borderId="4" xfId="0" applyNumberForma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49" fontId="0" fillId="3" borderId="2" xfId="0" applyNumberFormat="1" applyFont="1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5" fillId="0" borderId="0" xfId="1" applyFont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">
    <dxf>
      <fill>
        <patternFill patternType="solid">
          <bgColor rgb="FFFFC7CE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</dxfs>
  <tableStyles count="0" defaultTableStyle="TableStyleMedium2" defaultPivotStyle="PivotStyleLight16"/>
  <colors>
    <mruColors>
      <color rgb="FFA367D2"/>
      <color rgb="FFE1C000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26</xdr:row>
          <xdr:rowOff>190500</xdr:rowOff>
        </xdr:from>
        <xdr:to>
          <xdr:col>8</xdr:col>
          <xdr:colOff>1188720</xdr:colOff>
          <xdr:row>28</xdr:row>
          <xdr:rowOff>251460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sensor%20batch%20-%20Shortcut.lnk" TargetMode="External"/><Relationship Id="rId1" Type="http://schemas.openxmlformats.org/officeDocument/2006/relationships/hyperlink" Target="../07_Sensor%20Prob%20Tracking%20-%20Shortcut.lnk" TargetMode="External"/><Relationship Id="rId6" Type="http://schemas.openxmlformats.org/officeDocument/2006/relationships/image" Target="../media/image1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X30"/>
  <sheetViews>
    <sheetView tabSelected="1" topLeftCell="A8" zoomScale="85" zoomScaleNormal="85" workbookViewId="0">
      <selection activeCell="C14" sqref="C14"/>
    </sheetView>
  </sheetViews>
  <sheetFormatPr defaultColWidth="9.109375" defaultRowHeight="14.4"/>
  <cols>
    <col min="1" max="1" width="9.109375" style="2"/>
    <col min="2" max="2" width="24.5546875" style="2" customWidth="1"/>
    <col min="3" max="3" width="25.6640625" style="2" customWidth="1"/>
    <col min="4" max="4" width="18.88671875" style="2" customWidth="1"/>
    <col min="5" max="5" width="24.109375" style="2" customWidth="1"/>
    <col min="6" max="8" width="20.33203125" style="2" customWidth="1"/>
    <col min="9" max="10" width="26.88671875" style="2" customWidth="1"/>
    <col min="11" max="11" width="45.33203125" style="2" customWidth="1"/>
    <col min="12" max="12" width="12.6640625" style="2" customWidth="1"/>
    <col min="13" max="13" width="21.88671875" style="2" customWidth="1"/>
    <col min="14" max="14" width="20.33203125" style="2" customWidth="1"/>
    <col min="15" max="15" width="18.88671875" style="2" customWidth="1"/>
    <col min="16" max="17" width="15.5546875" style="2" customWidth="1"/>
    <col min="18" max="18" width="18.44140625" style="2" customWidth="1"/>
    <col min="19" max="19" width="22.33203125" style="2" customWidth="1"/>
    <col min="20" max="20" width="9.109375" style="2"/>
    <col min="21" max="21" width="9.33203125" style="2" customWidth="1"/>
    <col min="22" max="22" width="13.33203125" style="2" customWidth="1"/>
    <col min="23" max="23" width="11.88671875" style="2" customWidth="1"/>
    <col min="24" max="24" width="14.33203125" style="2" customWidth="1"/>
    <col min="25" max="16384" width="9.109375" style="2"/>
  </cols>
  <sheetData>
    <row r="2" spans="1:24">
      <c r="B2" s="74"/>
    </row>
    <row r="3" spans="1:24" ht="53.1" customHeight="1">
      <c r="B3" s="72" t="s">
        <v>0</v>
      </c>
      <c r="C3" s="3" t="s">
        <v>1</v>
      </c>
      <c r="D3" s="4" t="s">
        <v>2</v>
      </c>
      <c r="E3" s="5" t="s">
        <v>3</v>
      </c>
      <c r="F3" s="6" t="s">
        <v>2</v>
      </c>
    </row>
    <row r="4" spans="1:24">
      <c r="A4" s="7"/>
      <c r="B4" s="8" t="str">
        <f t="shared" ref="B4:B7" si="0">IF($J$10&gt;=ROW()-3,$I$10&amp;"-"&amp;ROW()-3,"")</f>
        <v>20-1</v>
      </c>
      <c r="C4" s="9">
        <v>19.350000000000001</v>
      </c>
      <c r="D4" s="10">
        <v>10.61</v>
      </c>
      <c r="E4" s="11" t="s">
        <v>4</v>
      </c>
      <c r="F4" s="11" t="s">
        <v>5</v>
      </c>
      <c r="H4" s="12" t="s">
        <v>6</v>
      </c>
      <c r="I4" s="59" t="s">
        <v>7</v>
      </c>
    </row>
    <row r="5" spans="1:24" ht="19.2">
      <c r="A5" s="7"/>
      <c r="B5" s="13" t="str">
        <f t="shared" si="0"/>
        <v>20-2</v>
      </c>
      <c r="C5" s="14">
        <v>19.39</v>
      </c>
      <c r="D5" s="15">
        <v>11.3</v>
      </c>
      <c r="E5" s="16" t="s">
        <v>8</v>
      </c>
      <c r="F5" s="16" t="s">
        <v>5</v>
      </c>
      <c r="H5" s="17" t="s">
        <v>9</v>
      </c>
      <c r="I5" s="60" t="s">
        <v>10</v>
      </c>
      <c r="M5" s="61"/>
    </row>
    <row r="6" spans="1:24" s="1" customFormat="1">
      <c r="A6" s="7"/>
      <c r="B6" s="13" t="str">
        <f t="shared" si="0"/>
        <v/>
      </c>
      <c r="C6" s="14"/>
      <c r="D6" s="18"/>
      <c r="E6" s="16"/>
      <c r="F6" s="16"/>
      <c r="G6" s="2"/>
      <c r="H6" s="19" t="s">
        <v>11</v>
      </c>
      <c r="I6" s="62"/>
      <c r="M6" s="2"/>
      <c r="N6" s="2"/>
      <c r="O6" s="2"/>
      <c r="P6" s="2"/>
      <c r="Q6" s="2"/>
      <c r="R6" s="2"/>
      <c r="S6" s="2"/>
    </row>
    <row r="7" spans="1:24">
      <c r="A7" s="20"/>
      <c r="B7" s="21" t="str">
        <f t="shared" si="0"/>
        <v/>
      </c>
      <c r="C7" s="22"/>
      <c r="D7" s="23"/>
      <c r="E7" s="24"/>
      <c r="F7" s="24"/>
      <c r="H7" s="25" t="s">
        <v>12</v>
      </c>
      <c r="I7" s="63" t="s">
        <v>13</v>
      </c>
    </row>
    <row r="8" spans="1:24">
      <c r="G8" s="71"/>
    </row>
    <row r="9" spans="1:24">
      <c r="B9" s="78" t="s">
        <v>14</v>
      </c>
      <c r="C9" s="26" t="s">
        <v>15</v>
      </c>
      <c r="D9" s="27" t="s">
        <v>16</v>
      </c>
      <c r="E9" s="27" t="s">
        <v>17</v>
      </c>
      <c r="F9" s="27" t="s">
        <v>18</v>
      </c>
      <c r="G9" s="27" t="s">
        <v>19</v>
      </c>
      <c r="H9" s="28" t="s">
        <v>20</v>
      </c>
      <c r="I9" s="64" t="s">
        <v>21</v>
      </c>
      <c r="J9" s="64" t="s">
        <v>22</v>
      </c>
      <c r="K9" s="64" t="s">
        <v>23</v>
      </c>
    </row>
    <row r="10" spans="1:24">
      <c r="B10" s="79"/>
      <c r="C10" s="23">
        <v>-7</v>
      </c>
      <c r="D10" s="22">
        <v>0</v>
      </c>
      <c r="E10" s="22">
        <v>5</v>
      </c>
      <c r="F10" s="22">
        <v>0</v>
      </c>
      <c r="G10" s="22">
        <v>1</v>
      </c>
      <c r="H10" s="24">
        <v>0</v>
      </c>
      <c r="I10" s="65">
        <v>20</v>
      </c>
      <c r="J10" s="66">
        <v>2</v>
      </c>
      <c r="K10" s="65" t="s">
        <v>24</v>
      </c>
    </row>
    <row r="11" spans="1:24" ht="24" customHeight="1"/>
    <row r="12" spans="1:24">
      <c r="B12" s="29" t="s">
        <v>25</v>
      </c>
      <c r="C12" s="30" t="s">
        <v>26</v>
      </c>
      <c r="D12" s="31"/>
      <c r="E12" s="31"/>
      <c r="F12" s="31"/>
      <c r="G12" s="31"/>
      <c r="H12" s="31"/>
      <c r="I12" s="31"/>
      <c r="J12" s="31"/>
    </row>
    <row r="13" spans="1:24">
      <c r="B13" s="80" t="s">
        <v>27</v>
      </c>
      <c r="C13" s="26" t="s">
        <v>28</v>
      </c>
      <c r="D13" s="27" t="s">
        <v>29</v>
      </c>
      <c r="E13" s="27" t="s">
        <v>30</v>
      </c>
      <c r="F13" s="28" t="s">
        <v>31</v>
      </c>
      <c r="G13" s="33" t="s">
        <v>32</v>
      </c>
      <c r="H13" s="34"/>
    </row>
    <row r="14" spans="1:24" ht="60.9" customHeight="1">
      <c r="B14" s="81"/>
      <c r="C14" s="14" t="s">
        <v>33</v>
      </c>
      <c r="D14" s="36" t="s">
        <v>34</v>
      </c>
      <c r="E14" s="37" t="s">
        <v>34</v>
      </c>
      <c r="F14" s="38" t="s">
        <v>34</v>
      </c>
      <c r="G14" s="39" t="str">
        <f>B4&amp;" (Benchmark)"&amp;CHAR(10)&amp;C21&amp;CHAR(10)&amp;"Water + Oil + Glue"</f>
        <v>20-1 (Benchmark)
SB-X01-17
Water + Oil + Glue</v>
      </c>
      <c r="H14" s="40" t="str">
        <f>"Installed on"&amp;CHAR(10)&amp;$K$10&amp;CHAR(10)&amp;C14</f>
        <v>Installed on
SAPV016A0001
2021-03-22_164106</v>
      </c>
    </row>
    <row r="15" spans="1:24" ht="43.2">
      <c r="B15" s="81"/>
      <c r="C15" s="14" t="s">
        <v>35</v>
      </c>
      <c r="D15" s="36" t="s">
        <v>34</v>
      </c>
      <c r="E15" s="37" t="s">
        <v>34</v>
      </c>
      <c r="F15" s="41" t="s">
        <v>34</v>
      </c>
      <c r="G15" s="42" t="str">
        <f>B5&amp;CHAR(10)&amp;C21&amp;CHAR(10)&amp;"Water + Oil + Glue"</f>
        <v>20-2
SB-X01-17
Water + Oil + Glue</v>
      </c>
      <c r="H15" s="35" t="str">
        <f>"Installed on"&amp;CHAR(10)&amp;$K$10&amp;CHAR(10)&amp;C15</f>
        <v>Installed on
SAPV016A0001
2021-03-23_100922</v>
      </c>
    </row>
    <row r="16" spans="1:24" ht="43.2">
      <c r="B16" s="81"/>
      <c r="C16" s="14"/>
      <c r="D16" s="36"/>
      <c r="E16" s="37"/>
      <c r="F16" s="38"/>
      <c r="G16" s="42" t="str">
        <f>B6&amp;CHAR(10)&amp;C22&amp;CHAR(10)&amp;"Water + Oil + Glue"</f>
        <v xml:space="preserve">
SB-X01-18
Water + Oil + Glue</v>
      </c>
      <c r="H16" s="35" t="str">
        <f>"Installed on"&amp;CHAR(10)&amp;$K$10&amp;CHAR(10)&amp;C16</f>
        <v xml:space="preserve">Installed on
SAPV016A0001
</v>
      </c>
      <c r="X16" s="2" t="s">
        <v>36</v>
      </c>
    </row>
    <row r="17" spans="2:12" ht="43.2">
      <c r="B17" s="82"/>
      <c r="C17" s="22"/>
      <c r="D17" s="44"/>
      <c r="E17" s="45"/>
      <c r="F17" s="46"/>
      <c r="G17" s="47" t="str">
        <f>B7&amp;CHAR(10)&amp;C23&amp;CHAR(10)&amp;"Water + Oil + Glue"</f>
        <v xml:space="preserve">
SB-X01-19
Water + Oil + Glue</v>
      </c>
      <c r="H17" s="43" t="str">
        <f>"Installed on"&amp;CHAR(10)&amp;$K$10&amp;CHAR(10)&amp;C17</f>
        <v xml:space="preserve">Installed on
SAPV016A0001
</v>
      </c>
    </row>
    <row r="19" spans="2:12">
      <c r="B19" s="29" t="s">
        <v>25</v>
      </c>
      <c r="C19" s="30" t="s">
        <v>37</v>
      </c>
      <c r="D19" s="31"/>
      <c r="E19" s="31"/>
      <c r="F19" s="31"/>
      <c r="G19" s="31"/>
      <c r="H19" s="31"/>
      <c r="I19" s="31"/>
      <c r="J19" s="31"/>
    </row>
    <row r="20" spans="2:12">
      <c r="B20" s="80" t="s">
        <v>38</v>
      </c>
      <c r="C20" s="73" t="s">
        <v>0</v>
      </c>
      <c r="D20" s="27" t="s">
        <v>39</v>
      </c>
      <c r="E20" s="27" t="s">
        <v>40</v>
      </c>
      <c r="F20" s="28" t="s">
        <v>41</v>
      </c>
      <c r="G20" s="48" t="s">
        <v>42</v>
      </c>
      <c r="H20" s="75" t="s">
        <v>32</v>
      </c>
      <c r="I20" s="76"/>
      <c r="J20" s="76"/>
      <c r="K20" s="77"/>
    </row>
    <row r="21" spans="2:12" ht="28.8">
      <c r="B21" s="83"/>
      <c r="C21" s="18" t="s">
        <v>43</v>
      </c>
      <c r="D21" s="10">
        <v>6.95</v>
      </c>
      <c r="E21" s="50">
        <v>33</v>
      </c>
      <c r="F21" s="11" t="s">
        <v>44</v>
      </c>
      <c r="G21" s="9" t="s">
        <v>45</v>
      </c>
      <c r="H21" s="32" t="str">
        <f>"1st Run:"&amp;LEFT(F21,FIND(" ",F21)-1)&amp;CHAR(10)&amp;"2nd Run:"&amp;LEFT(G21,FIND(" ",G21)-1)</f>
        <v>1st Run:93.56
2nd Run:92.53</v>
      </c>
      <c r="I21" s="39" t="str">
        <f>"1st Run:"&amp;MID(F21,FIND("^",SUBSTITUTE(F21," ","^",1))+1,FIND("^",SUBSTITUTE(F21," ","^",2))-FIND("^",SUBSTITUTE(F21," ","^",1))-1)&amp;CHAR(10)&amp;"2nd Run:"&amp;MID(G21,FIND("^",SUBSTITUTE(G21," ","^",1))+1,FIND("^",SUBSTITUTE(G21," ","^",2))-FIND("^",SUBSTITUTE(G21," ","^",1))-1)</f>
        <v>1st Run:57.58
2nd Run:56.63</v>
      </c>
      <c r="J21" s="39" t="str">
        <f>"1st Run:"&amp;MID(F21,FIND("^",SUBSTITUTE(F21," ","^",2))+1,FIND("^",SUBSTITUTE(F21," ","^",3))-FIND("^",SUBSTITUTE(F21," ","^",2))-1)&amp;CHAR(10)&amp;"2nd Run:"&amp;MID(G21,FIND("^",SUBSTITUTE(G21," ","^",2))+1,FIND("^",SUBSTITUTE(G21," ","^",3))-FIND("^",SUBSTITUTE(G21," ","^",2))-1)</f>
        <v>1st Run:0.73
2nd Run:0.58</v>
      </c>
      <c r="K21" s="67" t="str">
        <f>"1st Run:"&amp;MID(F21,FIND("^",SUBSTITUTE(F21," ","^",3))+1,FIND("^",SUBSTITUTE(F21," ","^",3))-FIND("^",SUBSTITUTE(F21," ","^",2))-1)&amp;CHAR(10)&amp;"2nd Run:"&amp;MID(G21,FIND("^",SUBSTITUTE(G21," ","^",3))+1,FIND("^",SUBSTITUTE(G21," ","^",3))-FIND("^",SUBSTITUTE(G21," ","^",2))-1)</f>
        <v>1st Run:1.72
2nd Run:2.24</v>
      </c>
      <c r="L21" s="68"/>
    </row>
    <row r="22" spans="2:12" ht="28.8">
      <c r="B22" s="83"/>
      <c r="C22" s="36" t="str">
        <f>LEFT(C21,7)&amp;TEXT(RIGHT(C21,2)+1,"00")</f>
        <v>SB-X01-18</v>
      </c>
      <c r="D22" s="18">
        <v>5.71</v>
      </c>
      <c r="E22" s="14">
        <v>33.28</v>
      </c>
      <c r="F22" s="16" t="s">
        <v>46</v>
      </c>
      <c r="G22" s="14" t="s">
        <v>47</v>
      </c>
      <c r="H22" s="49" t="str">
        <f>"1st Run:"&amp;LEFT(F22,FIND(" ",F22)-1)&amp;CHAR(10)&amp;"2nd Run:"&amp;LEFT(G22,FIND(" ",G22)-1)</f>
        <v>1st Run:93.30
2nd Run:93.46</v>
      </c>
      <c r="I22" s="42" t="str">
        <f>"1st Run:"&amp;MID(F22,FIND("^",SUBSTITUTE(F22," ","^",1))+1,FIND("^",SUBSTITUTE(F22," ","^",2))-FIND("^",SUBSTITUTE(F22," ","^",1))-1)&amp;CHAR(10)&amp;"2nd Run:"&amp;MID(G22,FIND("^",SUBSTITUTE(G22," ","^",1))+1,FIND("^",SUBSTITUTE(G22," ","^",2))-FIND("^",SUBSTITUTE(G22," ","^",1))-1)</f>
        <v>1st Run:57.28
2nd Run:57.29</v>
      </c>
      <c r="J22" s="42" t="str">
        <f>"1st Run:"&amp;MID(F22,FIND("^",SUBSTITUTE(F22," ","^",2))+1,FIND("^",SUBSTITUTE(F22," ","^",3))-FIND("^",SUBSTITUTE(F22," ","^",2))-1)&amp;CHAR(10)&amp;"2nd Run:"&amp;MID(G22,FIND("^",SUBSTITUTE(G22," ","^",2))+1,FIND("^",SUBSTITUTE(G22," ","^",3))-FIND("^",SUBSTITUTE(G22," ","^",2))-1)</f>
        <v>1st Run:0.50
2nd Run:0.38</v>
      </c>
      <c r="K22" s="69" t="str">
        <f>"1st Run:"&amp;MID(F22,FIND("^",SUBSTITUTE(F22," ","^",3))+1,FIND("^",SUBSTITUTE(F22," ","^",3))-FIND("^",SUBSTITUTE(F22," ","^",2))-1)&amp;CHAR(10)&amp;"2nd Run:"&amp;MID(G22,FIND("^",SUBSTITUTE(G22," ","^",3))+1,FIND("^",SUBSTITUTE(G22," ","^",3))-FIND("^",SUBSTITUTE(G22," ","^",2))-1)</f>
        <v>1st Run:1.97
2nd Run:2.21</v>
      </c>
    </row>
    <row r="23" spans="2:12" ht="45" customHeight="1">
      <c r="B23" s="83"/>
      <c r="C23" s="36" t="str">
        <f>LEFT(C22,7)&amp;TEXT(RIGHT(C22,2)+1,"00")</f>
        <v>SB-X01-19</v>
      </c>
      <c r="D23" s="18"/>
      <c r="E23" s="14"/>
      <c r="F23" s="16"/>
      <c r="G23" s="14"/>
      <c r="H23" s="49" t="e">
        <f>"1st Run:"&amp;LEFT(F23,FIND(" ",F23)-1)&amp;CHAR(10)&amp;"2nd Run:"&amp;LEFT(G23,FIND(" ",G23)-1)</f>
        <v>#VALUE!</v>
      </c>
      <c r="I23" s="42" t="e">
        <f>"1st Run:"&amp;MID(F23,FIND("^",SUBSTITUTE(F23," ","^",1))+1,FIND("^",SUBSTITUTE(F23," ","^",2))-FIND("^",SUBSTITUTE(F23," ","^",1))-1)&amp;CHAR(10)&amp;"2nd Run:"&amp;MID(G23,FIND("^",SUBSTITUTE(G23," ","^",1))+1,FIND("^",SUBSTITUTE(G23," ","^",2))-FIND("^",SUBSTITUTE(G23," ","^",1))-1)</f>
        <v>#VALUE!</v>
      </c>
      <c r="J23" s="42" t="e">
        <f>"1st Run:"&amp;MID(F23,FIND("^",SUBSTITUTE(F23," ","^",2))+1,FIND("^",SUBSTITUTE(F23," ","^",3))-FIND("^",SUBSTITUTE(F23," ","^",2))-1)&amp;CHAR(10)&amp;"2nd Run:"&amp;MID(G23,FIND("^",SUBSTITUTE(G23," ","^",2))+1,FIND("^",SUBSTITUTE(G23," ","^",3))-FIND("^",SUBSTITUTE(G23," ","^",2))-1)</f>
        <v>#VALUE!</v>
      </c>
      <c r="K23" s="69" t="e">
        <f>"1st Run:"&amp;MID(F23,FIND("^",SUBSTITUTE(F23," ","^",3))+1,FIND("^",SUBSTITUTE(F23," ","^",3))-FIND("^",SUBSTITUTE(F23," ","^",2))-1)&amp;CHAR(10)&amp;"2nd Run:"&amp;MID(G23,FIND("^",SUBSTITUTE(G23," ","^",3))+1,FIND("^",SUBSTITUTE(G23," ","^",3))-FIND("^",SUBSTITUTE(G23," ","^",2))-1)</f>
        <v>#VALUE!</v>
      </c>
    </row>
    <row r="24" spans="2:12">
      <c r="B24" s="84"/>
      <c r="C24" s="44" t="str">
        <f>LEFT(C23,7)&amp;TEXT(RIGHT(C23,2)+1,"00")</f>
        <v>SB-X01-20</v>
      </c>
      <c r="D24" s="23"/>
      <c r="E24" s="22"/>
      <c r="F24" s="24"/>
      <c r="G24" s="22"/>
      <c r="H24" s="51" t="e">
        <f>"1st Run:"&amp;LEFT(F24,FIND(" ",F24)-1)&amp;CHAR(10)&amp;"2nd Run:"&amp;LEFT(G24,FIND(" ",G24)-1)</f>
        <v>#VALUE!</v>
      </c>
      <c r="I24" s="47" t="e">
        <f>"1st Run:"&amp;MID(F24,FIND("^",SUBSTITUTE(F24," ","^",1))+1,FIND("^",SUBSTITUTE(F24," ","^",2))-FIND("^",SUBSTITUTE(F24," ","^",1))-1)&amp;CHAR(10)&amp;"2nd Run:"&amp;MID(G24,FIND("^",SUBSTITUTE(G24," ","^",1))+1,FIND("^",SUBSTITUTE(G24," ","^",2))-FIND("^",SUBSTITUTE(G24," ","^",1))-1)</f>
        <v>#VALUE!</v>
      </c>
      <c r="J24" s="47" t="e">
        <f>"1st Run:"&amp;MID(F24,FIND("^",SUBSTITUTE(F24," ","^",2))+1,FIND("^",SUBSTITUTE(F24," ","^",3))-FIND("^",SUBSTITUTE(F24," ","^",2))-1)&amp;CHAR(10)&amp;"2nd Run:"&amp;MID(G24,FIND("^",SUBSTITUTE(G24," ","^",2))+1,FIND("^",SUBSTITUTE(G24," ","^",3))-FIND("^",SUBSTITUTE(G24," ","^",2))-1)</f>
        <v>#VALUE!</v>
      </c>
      <c r="K24" s="70" t="e">
        <f>"1st Run:"&amp;MID(F24,FIND("^",SUBSTITUTE(F24," ","^",3))+1,FIND("^",SUBSTITUTE(F24," ","^",3))-FIND("^",SUBSTITUTE(F24," ","^",2))-1)&amp;CHAR(10)&amp;"2nd Run:"&amp;MID(G24,FIND("^",SUBSTITUTE(G24," ","^",3))+1,FIND("^",SUBSTITUTE(G24," ","^",3))-FIND("^",SUBSTITUTE(G24," ","^",2))-1)</f>
        <v>#VALUE!</v>
      </c>
    </row>
    <row r="26" spans="2:12">
      <c r="B26" s="31"/>
      <c r="C26" s="52" t="str">
        <f>B3</f>
        <v>Sensor No</v>
      </c>
      <c r="D26" s="26" t="s">
        <v>48</v>
      </c>
      <c r="E26" s="27" t="s">
        <v>49</v>
      </c>
      <c r="F26" s="27" t="s">
        <v>50</v>
      </c>
      <c r="G26" s="28" t="s">
        <v>51</v>
      </c>
      <c r="H26" s="53" t="s">
        <v>52</v>
      </c>
    </row>
    <row r="27" spans="2:12" ht="28.8">
      <c r="B27" s="32" t="str">
        <f>"Themocouple_QC_Report_"&amp;C21</f>
        <v>Themocouple_QC_Report_SB-X01-17</v>
      </c>
      <c r="C27" s="52" t="str">
        <f>C21</f>
        <v>SB-X01-17</v>
      </c>
      <c r="D27" s="18">
        <v>11.29</v>
      </c>
      <c r="E27" s="16">
        <v>2.19</v>
      </c>
      <c r="F27" s="37" t="s">
        <v>34</v>
      </c>
      <c r="G27" s="38" t="s">
        <v>34</v>
      </c>
      <c r="H27" s="54" t="s">
        <v>34</v>
      </c>
    </row>
    <row r="28" spans="2:12" ht="28.8">
      <c r="B28" s="32" t="str">
        <f>"Themocouple_QC_Report_"&amp;C22</f>
        <v>Themocouple_QC_Report_SB-X01-18</v>
      </c>
      <c r="C28" s="52" t="str">
        <f>C22</f>
        <v>SB-X01-18</v>
      </c>
      <c r="D28" s="18">
        <v>10.96</v>
      </c>
      <c r="E28" s="16">
        <v>2.93</v>
      </c>
      <c r="F28" s="37" t="s">
        <v>34</v>
      </c>
      <c r="G28" s="38" t="s">
        <v>34</v>
      </c>
      <c r="H28" s="55" t="s">
        <v>34</v>
      </c>
    </row>
    <row r="29" spans="2:12" ht="28.8">
      <c r="B29" s="32" t="str">
        <f>"Themocouple_QC_Report_"&amp;C23</f>
        <v>Themocouple_QC_Report_SB-X01-19</v>
      </c>
      <c r="C29" s="52" t="str">
        <f>C23</f>
        <v>SB-X01-19</v>
      </c>
      <c r="D29" s="18"/>
      <c r="E29" s="16"/>
      <c r="F29" s="37"/>
      <c r="G29" s="38"/>
      <c r="H29" s="55"/>
    </row>
    <row r="30" spans="2:12" ht="28.8">
      <c r="B30" s="56" t="str">
        <f>"Themocouple_QC_Report_"&amp;C24</f>
        <v>Themocouple_QC_Report_SB-X01-20</v>
      </c>
      <c r="C30" s="57" t="str">
        <f>C24</f>
        <v>SB-X01-20</v>
      </c>
      <c r="D30" s="23"/>
      <c r="E30" s="24"/>
      <c r="F30" s="45"/>
      <c r="G30" s="46"/>
      <c r="H30" s="58"/>
    </row>
  </sheetData>
  <mergeCells count="4">
    <mergeCell ref="H20:K20"/>
    <mergeCell ref="B9:B10"/>
    <mergeCell ref="B13:B17"/>
    <mergeCell ref="B20:B24"/>
  </mergeCells>
  <conditionalFormatting sqref="B27:H27 C14:H14 C21:K21 B4:F4">
    <cfRule type="expression" dxfId="5" priority="1">
      <formula>$B$4=""</formula>
    </cfRule>
  </conditionalFormatting>
  <conditionalFormatting sqref="B28:H28 C15:H15 C22:K22 B5:F5">
    <cfRule type="expression" dxfId="4" priority="2">
      <formula>$B$5=""</formula>
    </cfRule>
  </conditionalFormatting>
  <conditionalFormatting sqref="B29:H29 C16:H16 C23:K23 B6:F6">
    <cfRule type="expression" dxfId="3" priority="3">
      <formula>$B$6=""</formula>
    </cfRule>
  </conditionalFormatting>
  <conditionalFormatting sqref="B30:H30 C17:H17 C24:K24 B7:F7">
    <cfRule type="expression" dxfId="2" priority="4">
      <formula>$B$7=""</formula>
    </cfRule>
  </conditionalFormatting>
  <conditionalFormatting sqref="D14:F17 F27:H30">
    <cfRule type="cellIs" dxfId="1" priority="5" operator="equal">
      <formula>"Y"</formula>
    </cfRule>
    <cfRule type="cellIs" dxfId="0" priority="6" operator="equal">
      <formula>0</formula>
    </cfRule>
  </conditionalFormatting>
  <hyperlinks>
    <hyperlink ref="C19" r:id="rId1" xr:uid="{00000000-0004-0000-0000-000000000000}"/>
    <hyperlink ref="C12" r:id="rId2" xr:uid="{00000000-0004-0000-0000-000001000000}"/>
  </hyperlinks>
  <pageMargins left="0.75" right="0.75" top="1" bottom="1" header="0.5" footer="0.5"/>
  <drawing r:id="rId3"/>
  <legacyDrawing r:id="rId4"/>
  <oleObjects>
    <mc:AlternateContent xmlns:mc="http://schemas.openxmlformats.org/markup-compatibility/2006">
      <mc:Choice Requires="x14">
        <oleObject progId="Package" dvAspect="DVASPECT_ICON" shapeId="1027" r:id="rId5">
          <objectPr defaultSize="0" r:id="rId6">
            <anchor moveWithCells="1">
              <from>
                <xdr:col>8</xdr:col>
                <xdr:colOff>266700</xdr:colOff>
                <xdr:row>26</xdr:row>
                <xdr:rowOff>190500</xdr:rowOff>
              </from>
              <to>
                <xdr:col>8</xdr:col>
                <xdr:colOff>1188720</xdr:colOff>
                <xdr:row>28</xdr:row>
                <xdr:rowOff>251460</xdr:rowOff>
              </to>
            </anchor>
          </objectPr>
        </oleObject>
      </mc:Choice>
      <mc:Fallback>
        <oleObject progId="Package" dvAspect="DVASPECT_ICON" shapeId="1027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XDive</dc:creator>
  <cp:lastModifiedBy>hariiz</cp:lastModifiedBy>
  <dcterms:created xsi:type="dcterms:W3CDTF">2021-03-11T03:58:00Z</dcterms:created>
  <dcterms:modified xsi:type="dcterms:W3CDTF">2021-04-24T11:12:20Z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1033-11.2.0.10017</vt:lpwstr>
  </property>
</Properties>
</file>